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ice Inventory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<sst xmlns="http://schemas.openxmlformats.org/spreadsheetml/2006/main" count="223" uniqueCount="125">
  <si>
    <t xml:space="preserve">Device Name</t>
  </si>
  <si>
    <t xml:space="preserve">Device Type</t>
  </si>
  <si>
    <t xml:space="preserve">Owner / Role</t>
  </si>
  <si>
    <t xml:space="preserve">VLAN Name</t>
  </si>
  <si>
    <t xml:space="preserve">VLAN ID</t>
  </si>
  <si>
    <t xml:space="preserve">IP Address</t>
  </si>
  <si>
    <t xml:space="preserve">MAC Address</t>
  </si>
  <si>
    <t xml:space="preserve">Connected To</t>
  </si>
  <si>
    <t xml:space="preserve">Switch Port</t>
  </si>
  <si>
    <t xml:space="preserve">Notes</t>
  </si>
  <si>
    <t xml:space="preserve">Router0</t>
  </si>
  <si>
    <t xml:space="preserve">Router (Cisco 2911)</t>
  </si>
  <si>
    <t xml:space="preserve">Network Infrastructure</t>
  </si>
  <si>
    <t xml:space="preserve">n/a (routed)</t>
  </si>
  <si>
    <t xml:space="preserve">-</t>
  </si>
  <si>
    <t xml:space="preserve">192.168.1.2</t>
  </si>
  <si>
    <t xml:space="preserve">ISP / Edge</t>
  </si>
  <si>
    <t xml:space="preserve">Gig0/0</t>
  </si>
  <si>
    <t xml:space="preserve">Provides external connectivity; Gig0/0 up, verified via show ip interface brief</t>
  </si>
  <si>
    <t xml:space="preserve">Multilayer Switch0</t>
  </si>
  <si>
    <t xml:space="preserve">Multilayer Switch (3560-24PS)</t>
  </si>
  <si>
    <t xml:space="preserve">n/a (trunk core)</t>
  </si>
  <si>
    <t xml:space="preserve">192.168.1.1</t>
  </si>
  <si>
    <t xml:space="preserve">Gig0/1 / Fa0/1</t>
  </si>
  <si>
    <t xml:space="preserve">Core switch: VLAN routing, DHCP server, Guest-isolation ACL</t>
  </si>
  <si>
    <t xml:space="preserve">Switch0</t>
  </si>
  <si>
    <t xml:space="preserve">Access Switch (2960-24TT)</t>
  </si>
  <si>
    <t xml:space="preserve">Trunk (10/20/30/90)</t>
  </si>
  <si>
    <t xml:space="preserve">Fa0/2 (trunk)</t>
  </si>
  <si>
    <t xml:space="preserve">Access switch for Corp/Admin devices</t>
  </si>
  <si>
    <t xml:space="preserve">Switch1</t>
  </si>
  <si>
    <t xml:space="preserve">Fa0/3 (trunk)</t>
  </si>
  <si>
    <t xml:space="preserve">Access switch for Dev/Art workstations + NAS</t>
  </si>
  <si>
    <t xml:space="preserve">Switch2</t>
  </si>
  <si>
    <t xml:space="preserve">Fa0/4 (trunk)</t>
  </si>
  <si>
    <t xml:space="preserve">Access switch for QA/Test devices</t>
  </si>
  <si>
    <t xml:space="preserve">Switch3</t>
  </si>
  <si>
    <t xml:space="preserve">Fa0/5 (trunk)</t>
  </si>
  <si>
    <t xml:space="preserve">Access switch for Guest Wi-Fi (isolated by ACL)</t>
  </si>
  <si>
    <t xml:space="preserve">Corp-PC1</t>
  </si>
  <si>
    <t xml:space="preserve">Workstation (PC)</t>
  </si>
  <si>
    <t xml:space="preserve">Studio Lead</t>
  </si>
  <si>
    <t xml:space="preserve">CORP</t>
  </si>
  <si>
    <t xml:space="preserve">10.10.10.2</t>
  </si>
  <si>
    <t xml:space="preserve">0005.5E36.A280</t>
  </si>
  <si>
    <t xml:space="preserve">Fa0/6</t>
  </si>
  <si>
    <t xml:space="preserve">DHCP-assigned</t>
  </si>
  <si>
    <t xml:space="preserve">Corp-PC2</t>
  </si>
  <si>
    <t xml:space="preserve">Admin / Marketing</t>
  </si>
  <si>
    <t xml:space="preserve">10.10.10.3</t>
  </si>
  <si>
    <t xml:space="preserve">0050.0F9C.1AB8</t>
  </si>
  <si>
    <t xml:space="preserve">Fa0/7</t>
  </si>
  <si>
    <t xml:space="preserve">Printer0</t>
  </si>
  <si>
    <t xml:space="preserve">Network Printer</t>
  </si>
  <si>
    <t xml:space="preserve">Shared - Corp</t>
  </si>
  <si>
    <t xml:space="preserve">10.10.10.4</t>
  </si>
  <si>
    <t xml:space="preserve">0090.0CA9.4716</t>
  </si>
  <si>
    <t xml:space="preserve">Fa0/8</t>
  </si>
  <si>
    <t xml:space="preserve">DHCP-assigned, shared across Corp VLAN</t>
  </si>
  <si>
    <t xml:space="preserve">Dev-PC1</t>
  </si>
  <si>
    <t xml:space="preserve">Developer</t>
  </si>
  <si>
    <t xml:space="preserve">DEV_ART</t>
  </si>
  <si>
    <t xml:space="preserve">10.10.20.2</t>
  </si>
  <si>
    <t xml:space="preserve">0001.64BE.7AAD</t>
  </si>
  <si>
    <t xml:space="preserve">Dev-PC2</t>
  </si>
  <si>
    <t xml:space="preserve">10.10.20.3</t>
  </si>
  <si>
    <t xml:space="preserve">0002.1610.C235</t>
  </si>
  <si>
    <t xml:space="preserve">Dev-PC3</t>
  </si>
  <si>
    <t xml:space="preserve">10.10.20.4</t>
  </si>
  <si>
    <t xml:space="preserve">000A.F3AE.3C73</t>
  </si>
  <si>
    <t xml:space="preserve">Dev-PC4</t>
  </si>
  <si>
    <t xml:space="preserve">10.10.20.5</t>
  </si>
  <si>
    <t xml:space="preserve">0000.0CC7.6EA8</t>
  </si>
  <si>
    <t xml:space="preserve">Fa0/9</t>
  </si>
  <si>
    <t xml:space="preserve">Dev-PC5</t>
  </si>
  <si>
    <t xml:space="preserve">3D Artist</t>
  </si>
  <si>
    <t xml:space="preserve">10.10.20.6</t>
  </si>
  <si>
    <t xml:space="preserve">000C.85B6.33BB</t>
  </si>
  <si>
    <t xml:space="preserve">Fa0/10</t>
  </si>
  <si>
    <t xml:space="preserve">Dev-PC6</t>
  </si>
  <si>
    <t xml:space="preserve">10.10.20.7</t>
  </si>
  <si>
    <t xml:space="preserve">0060.5C43.C40D</t>
  </si>
  <si>
    <t xml:space="preserve">Fa0/11</t>
  </si>
  <si>
    <t xml:space="preserve">Dev-PC7</t>
  </si>
  <si>
    <t xml:space="preserve">10.10.20.8</t>
  </si>
  <si>
    <t xml:space="preserve">0001.C72D.0638</t>
  </si>
  <si>
    <t xml:space="preserve">Fa0/12</t>
  </si>
  <si>
    <t xml:space="preserve">Dev-PC8</t>
  </si>
  <si>
    <t xml:space="preserve">10.10.20.9</t>
  </si>
  <si>
    <t xml:space="preserve">00E0.A3DA.6ED6</t>
  </si>
  <si>
    <t xml:space="preserve">Fa0/13</t>
  </si>
  <si>
    <t xml:space="preserve">Server0 (NAS)</t>
  </si>
  <si>
    <t xml:space="preserve">Server / NAS</t>
  </si>
  <si>
    <t xml:space="preserve">Shared - Dev/Art</t>
  </si>
  <si>
    <t xml:space="preserve">10.10.20.10</t>
  </si>
  <si>
    <t xml:space="preserve">000C.8524.1153</t>
  </si>
  <si>
    <t xml:space="preserve">Fa0/14</t>
  </si>
  <si>
    <t xml:space="preserve">DHCP-assigned; shared storage for dev/art assets</t>
  </si>
  <si>
    <t xml:space="preserve">QA-PC1</t>
  </si>
  <si>
    <t xml:space="preserve">QA Tester</t>
  </si>
  <si>
    <t xml:space="preserve">QA_TEST</t>
  </si>
  <si>
    <t xml:space="preserve">10.10.30.2</t>
  </si>
  <si>
    <t xml:space="preserve">00E0.F751.4641</t>
  </si>
  <si>
    <t xml:space="preserve">QA-PC2</t>
  </si>
  <si>
    <t xml:space="preserve">10.10.30.3</t>
  </si>
  <si>
    <t xml:space="preserve">00E0.A3B4.53E4</t>
  </si>
  <si>
    <t xml:space="preserve">Laptop (QA Lead)</t>
  </si>
  <si>
    <t xml:space="preserve">Laptop</t>
  </si>
  <si>
    <t xml:space="preserve">QA Lead</t>
  </si>
  <si>
    <t xml:space="preserve">10.10.30.4</t>
  </si>
  <si>
    <t xml:space="preserve">0010.1150.D34B</t>
  </si>
  <si>
    <t xml:space="preserve">Guest-PC1 (Isolated)</t>
  </si>
  <si>
    <t xml:space="preserve">Guest / Visitor</t>
  </si>
  <si>
    <t xml:space="preserve">VLAN0090</t>
  </si>
  <si>
    <t xml:space="preserve">10.10.90.2 (DHCP pool)</t>
  </si>
  <si>
    <t xml:space="preserve">Blocked from all internal VLANs by GUEST_ISOLATION ACL; verified via ping test</t>
  </si>
  <si>
    <t xml:space="preserve">Metric</t>
  </si>
  <si>
    <t xml:space="preserve">Value</t>
  </si>
  <si>
    <t xml:space="preserve">Total devices tracked</t>
  </si>
  <si>
    <t xml:space="preserve">Network infrastructure devices</t>
  </si>
  <si>
    <t xml:space="preserve">Corp (VLAN 10) end devices</t>
  </si>
  <si>
    <t xml:space="preserve">Dev/Art (VLAN 20) end devices</t>
  </si>
  <si>
    <t xml:space="preserve">QA/Test (VLAN 30) end devices</t>
  </si>
  <si>
    <t xml:space="preserve">Guest (VLAN 90) end devices</t>
  </si>
  <si>
    <t xml:space="preserve">Devices with DHCP-assigned IPs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</si>
</sst>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5" min="5" style="1" width="9"/>
    <col collapsed="false" customWidth="true" hidden="false" outlineLevel="0" max="6" min="6" style="1" width="20"/>
    <col collapsed="false" customWidth="true" hidden="false" outlineLevel="0" max="8" min="7" style="1" width="16"/>
    <col collapsed="false" customWidth="true" hidden="false" outlineLevel="0" max="9" min="9" style="1" width="12"/>
    <col collapsed="false" customWidth="true" hidden="false" outlineLevel="0" max="10" min="10" style="1" width="42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2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14</v>
      </c>
      <c r="H2" s="3" t="s">
        <v>16</v>
      </c>
      <c r="I2" s="3" t="s">
        <v>17</v>
      </c>
      <c r="J2" s="4" t="s">
        <v>18</v>
      </c>
    </row>
    <row r="3" customFormat="false" ht="23.25" hidden="false" customHeight="true" outlineLevel="0" collapsed="false">
      <c r="A3" s="3" t="s">
        <v>19</v>
      </c>
      <c r="B3" s="3" t="s">
        <v>20</v>
      </c>
      <c r="C3" s="3" t="s">
        <v>12</v>
      </c>
      <c r="D3" s="3" t="s">
        <v>21</v>
      </c>
      <c r="E3" s="3" t="s">
        <v>14</v>
      </c>
      <c r="F3" s="3" t="s">
        <v>22</v>
      </c>
      <c r="G3" s="3" t="s">
        <v>14</v>
      </c>
      <c r="H3" s="3" t="s">
        <v>10</v>
      </c>
      <c r="I3" s="3" t="s">
        <v>23</v>
      </c>
      <c r="J3" s="4" t="s">
        <v>24</v>
      </c>
    </row>
    <row r="4" customFormat="false" ht="15" hidden="false" customHeight="true" outlineLevel="0" collapsed="false">
      <c r="A4" s="3" t="s">
        <v>25</v>
      </c>
      <c r="B4" s="3" t="s">
        <v>26</v>
      </c>
      <c r="C4" s="3" t="s">
        <v>12</v>
      </c>
      <c r="D4" s="3" t="s">
        <v>27</v>
      </c>
      <c r="E4" s="3" t="s">
        <v>14</v>
      </c>
      <c r="F4" s="3" t="s">
        <v>14</v>
      </c>
      <c r="G4" s="3" t="s">
        <v>14</v>
      </c>
      <c r="H4" s="3" t="s">
        <v>19</v>
      </c>
      <c r="I4" s="3" t="s">
        <v>28</v>
      </c>
      <c r="J4" s="4" t="s">
        <v>29</v>
      </c>
    </row>
    <row r="5" customFormat="false" ht="15" hidden="false" customHeight="true" outlineLevel="0" collapsed="false">
      <c r="A5" s="3" t="s">
        <v>30</v>
      </c>
      <c r="B5" s="3" t="s">
        <v>26</v>
      </c>
      <c r="C5" s="3" t="s">
        <v>12</v>
      </c>
      <c r="D5" s="3" t="s">
        <v>27</v>
      </c>
      <c r="E5" s="3" t="s">
        <v>14</v>
      </c>
      <c r="F5" s="3" t="s">
        <v>14</v>
      </c>
      <c r="G5" s="3" t="s">
        <v>14</v>
      </c>
      <c r="H5" s="3" t="s">
        <v>19</v>
      </c>
      <c r="I5" s="3" t="s">
        <v>31</v>
      </c>
      <c r="J5" s="4" t="s">
        <v>32</v>
      </c>
    </row>
    <row r="6" customFormat="false" ht="15" hidden="false" customHeight="true" outlineLevel="0" collapsed="false">
      <c r="A6" s="3" t="s">
        <v>33</v>
      </c>
      <c r="B6" s="3" t="s">
        <v>26</v>
      </c>
      <c r="C6" s="3" t="s">
        <v>12</v>
      </c>
      <c r="D6" s="3" t="s">
        <v>27</v>
      </c>
      <c r="E6" s="3" t="s">
        <v>14</v>
      </c>
      <c r="F6" s="3" t="s">
        <v>14</v>
      </c>
      <c r="G6" s="3" t="s">
        <v>14</v>
      </c>
      <c r="H6" s="3" t="s">
        <v>19</v>
      </c>
      <c r="I6" s="3" t="s">
        <v>34</v>
      </c>
      <c r="J6" s="4" t="s">
        <v>35</v>
      </c>
    </row>
    <row r="7" customFormat="false" ht="15" hidden="false" customHeight="true" outlineLevel="0" collapsed="false">
      <c r="A7" s="3" t="s">
        <v>36</v>
      </c>
      <c r="B7" s="3" t="s">
        <v>26</v>
      </c>
      <c r="C7" s="3" t="s">
        <v>12</v>
      </c>
      <c r="D7" s="3" t="s">
        <v>27</v>
      </c>
      <c r="E7" s="3" t="s">
        <v>14</v>
      </c>
      <c r="F7" s="3" t="s">
        <v>14</v>
      </c>
      <c r="G7" s="3" t="s">
        <v>14</v>
      </c>
      <c r="H7" s="3" t="s">
        <v>19</v>
      </c>
      <c r="I7" s="3" t="s">
        <v>37</v>
      </c>
      <c r="J7" s="4" t="s">
        <v>38</v>
      </c>
    </row>
    <row r="8" customFormat="false" ht="15" hidden="false" customHeight="true" outlineLevel="0" collapsed="false">
      <c r="A8" s="5" t="s">
        <v>39</v>
      </c>
      <c r="B8" s="5" t="s">
        <v>40</v>
      </c>
      <c r="C8" s="5" t="s">
        <v>41</v>
      </c>
      <c r="D8" s="5" t="s">
        <v>42</v>
      </c>
      <c r="E8" s="5" t="n">
        <v>10</v>
      </c>
      <c r="F8" s="5" t="s">
        <v>43</v>
      </c>
      <c r="G8" s="5" t="s">
        <v>44</v>
      </c>
      <c r="H8" s="5" t="s">
        <v>25</v>
      </c>
      <c r="I8" s="5" t="s">
        <v>45</v>
      </c>
      <c r="J8" s="6" t="s">
        <v>46</v>
      </c>
    </row>
    <row r="9" customFormat="false" ht="15" hidden="false" customHeight="true" outlineLevel="0" collapsed="false">
      <c r="A9" s="5" t="s">
        <v>47</v>
      </c>
      <c r="B9" s="5" t="s">
        <v>40</v>
      </c>
      <c r="C9" s="5" t="s">
        <v>48</v>
      </c>
      <c r="D9" s="5" t="s">
        <v>42</v>
      </c>
      <c r="E9" s="5" t="n">
        <v>10</v>
      </c>
      <c r="F9" s="5" t="s">
        <v>49</v>
      </c>
      <c r="G9" s="5" t="s">
        <v>50</v>
      </c>
      <c r="H9" s="5" t="s">
        <v>25</v>
      </c>
      <c r="I9" s="5" t="s">
        <v>51</v>
      </c>
      <c r="J9" s="6" t="s">
        <v>46</v>
      </c>
    </row>
    <row r="10" customFormat="false" ht="15" hidden="false" customHeight="true" outlineLevel="0" collapsed="false">
      <c r="A10" s="5" t="s">
        <v>52</v>
      </c>
      <c r="B10" s="5" t="s">
        <v>53</v>
      </c>
      <c r="C10" s="5" t="s">
        <v>54</v>
      </c>
      <c r="D10" s="5" t="s">
        <v>42</v>
      </c>
      <c r="E10" s="5" t="n">
        <v>10</v>
      </c>
      <c r="F10" s="5" t="s">
        <v>55</v>
      </c>
      <c r="G10" s="5" t="s">
        <v>56</v>
      </c>
      <c r="H10" s="5" t="s">
        <v>25</v>
      </c>
      <c r="I10" s="5" t="s">
        <v>57</v>
      </c>
      <c r="J10" s="6" t="s">
        <v>58</v>
      </c>
    </row>
    <row r="11" customFormat="false" ht="15" hidden="false" customHeight="true" outlineLevel="0" collapsed="false">
      <c r="A11" s="7" t="s">
        <v>59</v>
      </c>
      <c r="B11" s="7" t="s">
        <v>40</v>
      </c>
      <c r="C11" s="7" t="s">
        <v>60</v>
      </c>
      <c r="D11" s="7" t="s">
        <v>61</v>
      </c>
      <c r="E11" s="7" t="n">
        <v>20</v>
      </c>
      <c r="F11" s="7" t="s">
        <v>62</v>
      </c>
      <c r="G11" s="7" t="s">
        <v>63</v>
      </c>
      <c r="H11" s="7" t="s">
        <v>30</v>
      </c>
      <c r="I11" s="7" t="s">
        <v>45</v>
      </c>
      <c r="J11" s="8" t="s">
        <v>46</v>
      </c>
    </row>
    <row r="12" customFormat="false" ht="15" hidden="false" customHeight="true" outlineLevel="0" collapsed="false">
      <c r="A12" s="7" t="s">
        <v>64</v>
      </c>
      <c r="B12" s="7" t="s">
        <v>40</v>
      </c>
      <c r="C12" s="7" t="s">
        <v>60</v>
      </c>
      <c r="D12" s="7" t="s">
        <v>61</v>
      </c>
      <c r="E12" s="7" t="n">
        <v>20</v>
      </c>
      <c r="F12" s="7" t="s">
        <v>65</v>
      </c>
      <c r="G12" s="7" t="s">
        <v>66</v>
      </c>
      <c r="H12" s="7" t="s">
        <v>30</v>
      </c>
      <c r="I12" s="7" t="s">
        <v>51</v>
      </c>
      <c r="J12" s="8" t="s">
        <v>46</v>
      </c>
    </row>
    <row r="13" customFormat="false" ht="15" hidden="false" customHeight="true" outlineLevel="0" collapsed="false">
      <c r="A13" s="7" t="s">
        <v>67</v>
      </c>
      <c r="B13" s="7" t="s">
        <v>40</v>
      </c>
      <c r="C13" s="7" t="s">
        <v>60</v>
      </c>
      <c r="D13" s="7" t="s">
        <v>61</v>
      </c>
      <c r="E13" s="7" t="n">
        <v>20</v>
      </c>
      <c r="F13" s="7" t="s">
        <v>68</v>
      </c>
      <c r="G13" s="7" t="s">
        <v>69</v>
      </c>
      <c r="H13" s="7" t="s">
        <v>30</v>
      </c>
      <c r="I13" s="7" t="s">
        <v>57</v>
      </c>
      <c r="J13" s="8" t="s">
        <v>46</v>
      </c>
    </row>
    <row r="14" customFormat="false" ht="15" hidden="false" customHeight="true" outlineLevel="0" collapsed="false">
      <c r="A14" s="7" t="s">
        <v>70</v>
      </c>
      <c r="B14" s="7" t="s">
        <v>40</v>
      </c>
      <c r="C14" s="7" t="s">
        <v>60</v>
      </c>
      <c r="D14" s="7" t="s">
        <v>61</v>
      </c>
      <c r="E14" s="7" t="n">
        <v>20</v>
      </c>
      <c r="F14" s="7" t="s">
        <v>71</v>
      </c>
      <c r="G14" s="7" t="s">
        <v>72</v>
      </c>
      <c r="H14" s="7" t="s">
        <v>30</v>
      </c>
      <c r="I14" s="7" t="s">
        <v>73</v>
      </c>
      <c r="J14" s="8" t="s">
        <v>46</v>
      </c>
    </row>
    <row r="15" customFormat="false" ht="15" hidden="false" customHeight="true" outlineLevel="0" collapsed="false">
      <c r="A15" s="7" t="s">
        <v>74</v>
      </c>
      <c r="B15" s="7" t="s">
        <v>40</v>
      </c>
      <c r="C15" s="7" t="s">
        <v>75</v>
      </c>
      <c r="D15" s="7" t="s">
        <v>61</v>
      </c>
      <c r="E15" s="7" t="n">
        <v>20</v>
      </c>
      <c r="F15" s="7" t="s">
        <v>76</v>
      </c>
      <c r="G15" s="7" t="s">
        <v>77</v>
      </c>
      <c r="H15" s="7" t="s">
        <v>30</v>
      </c>
      <c r="I15" s="7" t="s">
        <v>78</v>
      </c>
      <c r="J15" s="8" t="s">
        <v>46</v>
      </c>
    </row>
    <row r="16" customFormat="false" ht="15" hidden="false" customHeight="true" outlineLevel="0" collapsed="false">
      <c r="A16" s="7" t="s">
        <v>79</v>
      </c>
      <c r="B16" s="7" t="s">
        <v>40</v>
      </c>
      <c r="C16" s="7" t="s">
        <v>75</v>
      </c>
      <c r="D16" s="7" t="s">
        <v>61</v>
      </c>
      <c r="E16" s="7" t="n">
        <v>20</v>
      </c>
      <c r="F16" s="7" t="s">
        <v>80</v>
      </c>
      <c r="G16" s="7" t="s">
        <v>81</v>
      </c>
      <c r="H16" s="7" t="s">
        <v>30</v>
      </c>
      <c r="I16" s="7" t="s">
        <v>82</v>
      </c>
      <c r="J16" s="8" t="s">
        <v>46</v>
      </c>
    </row>
    <row r="17" customFormat="false" ht="15" hidden="false" customHeight="true" outlineLevel="0" collapsed="false">
      <c r="A17" s="7" t="s">
        <v>83</v>
      </c>
      <c r="B17" s="7" t="s">
        <v>40</v>
      </c>
      <c r="C17" s="7" t="s">
        <v>75</v>
      </c>
      <c r="D17" s="7" t="s">
        <v>61</v>
      </c>
      <c r="E17" s="7" t="n">
        <v>20</v>
      </c>
      <c r="F17" s="7" t="s">
        <v>84</v>
      </c>
      <c r="G17" s="7" t="s">
        <v>85</v>
      </c>
      <c r="H17" s="7" t="s">
        <v>30</v>
      </c>
      <c r="I17" s="7" t="s">
        <v>86</v>
      </c>
      <c r="J17" s="8" t="s">
        <v>46</v>
      </c>
    </row>
    <row r="18" customFormat="false" ht="15" hidden="false" customHeight="true" outlineLevel="0" collapsed="false">
      <c r="A18" s="7" t="s">
        <v>87</v>
      </c>
      <c r="B18" s="7" t="s">
        <v>40</v>
      </c>
      <c r="C18" s="7" t="s">
        <v>60</v>
      </c>
      <c r="D18" s="7" t="s">
        <v>61</v>
      </c>
      <c r="E18" s="7" t="n">
        <v>20</v>
      </c>
      <c r="F18" s="7" t="s">
        <v>88</v>
      </c>
      <c r="G18" s="7" t="s">
        <v>89</v>
      </c>
      <c r="H18" s="7" t="s">
        <v>30</v>
      </c>
      <c r="I18" s="7" t="s">
        <v>90</v>
      </c>
      <c r="J18" s="8" t="s">
        <v>46</v>
      </c>
    </row>
    <row r="19" customFormat="false" ht="15" hidden="false" customHeight="true" outlineLevel="0" collapsed="false">
      <c r="A19" s="7" t="s">
        <v>91</v>
      </c>
      <c r="B19" s="7" t="s">
        <v>92</v>
      </c>
      <c r="C19" s="7" t="s">
        <v>93</v>
      </c>
      <c r="D19" s="7" t="s">
        <v>61</v>
      </c>
      <c r="E19" s="7" t="n">
        <v>20</v>
      </c>
      <c r="F19" s="7" t="s">
        <v>94</v>
      </c>
      <c r="G19" s="7" t="s">
        <v>95</v>
      </c>
      <c r="H19" s="7" t="s">
        <v>30</v>
      </c>
      <c r="I19" s="7" t="s">
        <v>96</v>
      </c>
      <c r="J19" s="8" t="s">
        <v>97</v>
      </c>
    </row>
    <row r="20" customFormat="false" ht="15" hidden="false" customHeight="true" outlineLevel="0" collapsed="false">
      <c r="A20" s="9" t="s">
        <v>98</v>
      </c>
      <c r="B20" s="9" t="s">
        <v>40</v>
      </c>
      <c r="C20" s="9" t="s">
        <v>99</v>
      </c>
      <c r="D20" s="9" t="s">
        <v>100</v>
      </c>
      <c r="E20" s="9" t="n">
        <v>30</v>
      </c>
      <c r="F20" s="9" t="s">
        <v>101</v>
      </c>
      <c r="G20" s="9" t="s">
        <v>102</v>
      </c>
      <c r="H20" s="9" t="s">
        <v>33</v>
      </c>
      <c r="I20" s="9" t="s">
        <v>45</v>
      </c>
      <c r="J20" s="10" t="s">
        <v>46</v>
      </c>
    </row>
    <row r="21" customFormat="false" ht="15" hidden="false" customHeight="true" outlineLevel="0" collapsed="false">
      <c r="A21" s="9" t="s">
        <v>103</v>
      </c>
      <c r="B21" s="9" t="s">
        <v>40</v>
      </c>
      <c r="C21" s="9" t="s">
        <v>99</v>
      </c>
      <c r="D21" s="9" t="s">
        <v>100</v>
      </c>
      <c r="E21" s="9" t="n">
        <v>30</v>
      </c>
      <c r="F21" s="9" t="s">
        <v>104</v>
      </c>
      <c r="G21" s="9" t="s">
        <v>105</v>
      </c>
      <c r="H21" s="9" t="s">
        <v>33</v>
      </c>
      <c r="I21" s="9" t="s">
        <v>51</v>
      </c>
      <c r="J21" s="10" t="s">
        <v>46</v>
      </c>
    </row>
    <row r="22" customFormat="false" ht="15" hidden="false" customHeight="true" outlineLevel="0" collapsed="false">
      <c r="A22" s="9" t="s">
        <v>106</v>
      </c>
      <c r="B22" s="9" t="s">
        <v>107</v>
      </c>
      <c r="C22" s="9" t="s">
        <v>108</v>
      </c>
      <c r="D22" s="9" t="s">
        <v>100</v>
      </c>
      <c r="E22" s="9" t="n">
        <v>30</v>
      </c>
      <c r="F22" s="9" t="s">
        <v>109</v>
      </c>
      <c r="G22" s="9" t="s">
        <v>110</v>
      </c>
      <c r="H22" s="9" t="s">
        <v>33</v>
      </c>
      <c r="I22" s="9" t="s">
        <v>57</v>
      </c>
      <c r="J22" s="10" t="s">
        <v>46</v>
      </c>
    </row>
    <row r="23" customFormat="false" ht="23.25" hidden="false" customHeight="true" outlineLevel="0" collapsed="false">
      <c r="A23" s="11" t="s">
        <v>111</v>
      </c>
      <c r="B23" s="11" t="s">
        <v>40</v>
      </c>
      <c r="C23" s="11" t="s">
        <v>112</v>
      </c>
      <c r="D23" s="11" t="s">
        <v>113</v>
      </c>
      <c r="E23" s="11" t="n">
        <v>90</v>
      </c>
      <c r="F23" s="11" t="s">
        <v>114</v>
      </c>
      <c r="G23" s="11" t="s">
        <v>14</v>
      </c>
      <c r="H23" s="11" t="s">
        <v>36</v>
      </c>
      <c r="I23" s="11" t="s">
        <v>45</v>
      </c>
      <c r="J23" s="1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3" t="s">
        <v>116</v>
      </c>
      <c r="B1" s="13" t="s">
        <v>117</v>
      </c>
    </row>
    <row r="2" customFormat="false" ht="15" hidden="false" customHeight="true" outlineLevel="0" collapsed="false">
      <c r="A2" s="14" t="s">
        <v>118</v>
      </c>
      <c r="B2" s="14" t="n">
        <f aca="false">COUNTA('Device Inventory'!A2:A23)</f>
        <v>22</v>
      </c>
    </row>
    <row r="3" customFormat="false" ht="15" hidden="false" customHeight="true" outlineLevel="0" collapsed="false">
      <c r="A3" s="14" t="s">
        <v>119</v>
      </c>
      <c r="B3" s="14" t="n">
        <f aca="false">COUNTIF('Device Inventory'!C2:C23,"Network Infrastructure")</f>
        <v>6</v>
      </c>
    </row>
    <row r="4" customFormat="false" ht="15" hidden="false" customHeight="true" outlineLevel="0" collapsed="false">
      <c r="A4" s="14" t="s">
        <v>120</v>
      </c>
      <c r="B4" s="14" t="n">
        <f aca="false">COUNTIF('Device Inventory'!E2:E23,10)</f>
        <v>3</v>
      </c>
    </row>
    <row r="5" customFormat="false" ht="15" hidden="false" customHeight="true" outlineLevel="0" collapsed="false">
      <c r="A5" s="14" t="s">
        <v>121</v>
      </c>
      <c r="B5" s="14" t="n">
        <f aca="false">COUNTIF('Device Inventory'!E2:E23,20)</f>
        <v>9</v>
      </c>
    </row>
    <row r="6" customFormat="false" ht="15" hidden="false" customHeight="true" outlineLevel="0" collapsed="false">
      <c r="A6" s="14" t="s">
        <v>122</v>
      </c>
      <c r="B6" s="14" t="n">
        <f aca="false">COUNTIF('Device Inventory'!E2:E23,30)</f>
        <v>3</v>
      </c>
    </row>
    <row r="7" customFormat="false" ht="15" hidden="false" customHeight="true" outlineLevel="0" collapsed="false">
      <c r="A7" s="14" t="s">
        <v>123</v>
      </c>
      <c r="B7" s="14" t="n">
        <f aca="false">COUNTIF('Device Inventory'!E2:E23,90)</f>
        <v>1</v>
      </c>
    </row>
    <row r="8" customFormat="false" ht="15" hidden="false" customHeight="true" outlineLevel="0" collapsed="false">
      <c r="A8" s="14" t="s">
        <v>124</v>
      </c>
      <c r="B8" s="14" t="n">
        <f aca="false">COUNTIF('Device Inventory'!J2:J23,"DHCP*")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2026-07-10T20:55:08Z</dcterms:created>
  <dc:creator/>
  <dc:description/>
  <dc:language>en-US</dc:language>
  <cp:lastModifiedBy/>
  <dcterms:modified xsi:type="dcterms:W3CDTF">2026-07-10T20:59:30Z</dcterms:modified>
  <cp:revision>0</cp:revision>
  <dc:subject/>
  <dc:title>Device Inventory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